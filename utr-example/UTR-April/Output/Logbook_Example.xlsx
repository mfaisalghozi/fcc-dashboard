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naindonesia-my.sharepoint.com/personal/v-zalfa_asiku_dana_id/Documents/Documents/"/>
    </mc:Choice>
  </mc:AlternateContent>
  <xr:revisionPtr revIDLastSave="0" documentId="8_{45F205B1-A0C1-46F4-BF66-B62E77E71C0C}" xr6:coauthVersionLast="47" xr6:coauthVersionMax="47" xr10:uidLastSave="{00000000-0000-0000-0000-000000000000}"/>
  <bookViews>
    <workbookView xWindow="-110" yWindow="-110" windowWidth="19420" windowHeight="10300" xr2:uid="{F5047AB3-8C65-41E2-9A5E-F51285F5BC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A10" i="1" l="1"/>
  <c r="Z10" i="1"/>
  <c r="AA2" i="1"/>
  <c r="Z2" i="1"/>
</calcChain>
</file>

<file path=xl/sharedStrings.xml><?xml version="1.0" encoding="utf-8"?>
<sst xmlns="http://schemas.openxmlformats.org/spreadsheetml/2006/main" count="234" uniqueCount="76">
  <si>
    <t>Risk</t>
  </si>
  <si>
    <t>User</t>
  </si>
  <si>
    <t>05.RISK NOTES.UTR.IV.2026</t>
  </si>
  <si>
    <t>HAMIYAH</t>
  </si>
  <si>
    <t>216610001318170916472</t>
  </si>
  <si>
    <t>62-87796113662</t>
  </si>
  <si>
    <t>N/A</t>
  </si>
  <si>
    <t>April</t>
  </si>
  <si>
    <t>Structuring, Online Gambling Indicated</t>
  </si>
  <si>
    <t>PERJUDIAN</t>
  </si>
  <si>
    <t>NURHAYATI</t>
  </si>
  <si>
    <t>216610001374083062851</t>
  </si>
  <si>
    <t>62-87746319784</t>
  </si>
  <si>
    <t>NURYATIN</t>
  </si>
  <si>
    <t>216610001405092898785</t>
  </si>
  <si>
    <t>62-82221499561</t>
  </si>
  <si>
    <t>BRITLEN KAPITAN</t>
  </si>
  <si>
    <t>216610001141550892510</t>
  </si>
  <si>
    <t>62-87752226405</t>
  </si>
  <si>
    <t>CARTO</t>
  </si>
  <si>
    <t>216610001252114334556</t>
  </si>
  <si>
    <t>62-85977315525</t>
  </si>
  <si>
    <t>BINA</t>
  </si>
  <si>
    <t>216610001316769650851</t>
  </si>
  <si>
    <t>62-87782527728</t>
  </si>
  <si>
    <t>ASUWAH</t>
  </si>
  <si>
    <t>216610001317538737881</t>
  </si>
  <si>
    <t>62-87796112875</t>
  </si>
  <si>
    <t>AGUS JUANDA</t>
  </si>
  <si>
    <t>216610001276692652521</t>
  </si>
  <si>
    <t>62-82363489107</t>
  </si>
  <si>
    <t>RAJA</t>
  </si>
  <si>
    <t>216610001306368577806</t>
  </si>
  <si>
    <t>62-87789199538</t>
  </si>
  <si>
    <t>RUMIYATI</t>
  </si>
  <si>
    <t>216610001286824011643</t>
  </si>
  <si>
    <t>62-87813267843</t>
  </si>
  <si>
    <t>RISKA KRISJAYANTI</t>
  </si>
  <si>
    <t>216610001264282486616</t>
  </si>
  <si>
    <t>62-87730058801</t>
  </si>
  <si>
    <t>YUSUF</t>
  </si>
  <si>
    <t>216610001366321098188</t>
  </si>
  <si>
    <t>62-85194085689</t>
  </si>
  <si>
    <t>TITIN</t>
  </si>
  <si>
    <t>216610001223938313180</t>
  </si>
  <si>
    <t>62-87781866063</t>
  </si>
  <si>
    <t>WARSIAH DG JIME</t>
  </si>
  <si>
    <t>216610001342748077663</t>
  </si>
  <si>
    <t>62-81957406874</t>
  </si>
  <si>
    <t>YUSUF SITOHANG</t>
  </si>
  <si>
    <t>216610001373247048030</t>
  </si>
  <si>
    <t>62-85194985518</t>
  </si>
  <si>
    <t>Batch</t>
  </si>
  <si>
    <t>Source</t>
  </si>
  <si>
    <t>POV</t>
  </si>
  <si>
    <t>No UTR</t>
  </si>
  <si>
    <t>NAMA PENGGUNA</t>
  </si>
  <si>
    <t>CIF</t>
  </si>
  <si>
    <t>Login ID</t>
  </si>
  <si>
    <t>ISV</t>
  </si>
  <si>
    <t>PERIODE</t>
  </si>
  <si>
    <t>TYPOLOGY UTR</t>
  </si>
  <si>
    <t>TPA</t>
  </si>
  <si>
    <t>TPA Other</t>
  </si>
  <si>
    <t>No. Surat</t>
  </si>
  <si>
    <t>Note/Mark</t>
  </si>
  <si>
    <t>Beneficiary/entity</t>
  </si>
  <si>
    <t>Tangal Eskalasi</t>
  </si>
  <si>
    <t>Jumlah trx</t>
  </si>
  <si>
    <t>Nominal Trx</t>
  </si>
  <si>
    <t>SLA Escalate to Approval</t>
  </si>
  <si>
    <t>Approval</t>
  </si>
  <si>
    <t>Send</t>
  </si>
  <si>
    <t>SLA Approval to Send</t>
  </si>
  <si>
    <t>FCC PIC</t>
  </si>
  <si>
    <t>Account Closure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</si>
</sst>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[Red]\(0\)"/>
    <numFmt numFmtId="165" formatCode="m/d/yy;@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3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49" fontId="0" fillId="0" borderId="1" xfId="0" applyNumberFormat="1" applyBorder="1" applyAlignment="1">
      <alignment vertical="top"/>
    </xf>
    <xf numFmtId="49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1"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2E060-EB31-4FE2-94C2-0B0EF4BB5FC2}">
  <dimension ref="A1:AA16"/>
  <sheetViews>
    <sheetView tabSelected="1" workbookViewId="0">
      <selection activeCell="E6" sqref="E6"/>
    </sheetView>
  </sheetViews>
  <sheetFormatPr defaultRowHeight="14.5" x14ac:dyDescent="0.35"/>
  <cols>
    <col min="1" max="1" width="5.6328125" bestFit="1" customWidth="1"/>
    <col min="2" max="2" width="6.6328125" bestFit="1" customWidth="1"/>
    <col min="3" max="3" width="4.6328125" bestFit="1" customWidth="1"/>
    <col min="4" max="4" width="23.54296875" bestFit="1" customWidth="1"/>
    <col min="5" max="5" width="15.90625" bestFit="1" customWidth="1"/>
    <col min="6" max="6" width="22.08984375" bestFit="1" customWidth="1"/>
    <col min="7" max="7" width="14.54296875" bestFit="1" customWidth="1"/>
    <col min="8" max="8" width="3.81640625" bestFit="1" customWidth="1"/>
    <col min="9" max="9" width="8.1796875" bestFit="1" customWidth="1"/>
    <col min="10" max="10" width="32.26953125" bestFit="1" customWidth="1"/>
    <col min="11" max="11" width="10" bestFit="1" customWidth="1"/>
    <col min="12" max="12" width="8.90625" bestFit="1" customWidth="1"/>
    <col min="13" max="13" width="8.453125" bestFit="1" customWidth="1"/>
    <col min="14" max="14" width="9.54296875" bestFit="1" customWidth="1"/>
    <col min="15" max="15" width="15.90625" bestFit="1" customWidth="1"/>
    <col min="16" max="16" width="13.6328125" bestFit="1" customWidth="1"/>
    <col min="17" max="17" width="9.36328125" bestFit="1" customWidth="1"/>
    <col min="18" max="18" width="10.7265625" bestFit="1" customWidth="1"/>
    <col min="19" max="19" width="21.36328125" bestFit="1" customWidth="1"/>
    <col min="20" max="20" width="8.1796875" bestFit="1" customWidth="1"/>
    <col min="21" max="21" width="5.08984375" bestFit="1" customWidth="1"/>
    <col min="22" max="22" width="18.453125" bestFit="1" customWidth="1"/>
    <col min="23" max="23" width="7.6328125" bestFit="1" customWidth="1"/>
    <col min="24" max="24" width="20.453125" bestFit="1" customWidth="1"/>
  </cols>
  <sheetData>
    <row r="1" spans="1:27" s="17" customFormat="1" x14ac:dyDescent="0.35">
      <c r="A1" s="5" t="s">
        <v>52</v>
      </c>
      <c r="B1" s="5" t="s">
        <v>53</v>
      </c>
      <c r="C1" s="5" t="s">
        <v>54</v>
      </c>
      <c r="D1" s="5" t="s">
        <v>55</v>
      </c>
      <c r="E1" s="6" t="s">
        <v>56</v>
      </c>
      <c r="F1" s="7" t="s">
        <v>57</v>
      </c>
      <c r="G1" s="5" t="s">
        <v>58</v>
      </c>
      <c r="H1" s="5" t="s">
        <v>59</v>
      </c>
      <c r="I1" s="8" t="s">
        <v>60</v>
      </c>
      <c r="J1" s="5" t="s">
        <v>61</v>
      </c>
      <c r="K1" s="8" t="s">
        <v>62</v>
      </c>
      <c r="L1" s="9" t="s">
        <v>63</v>
      </c>
      <c r="M1" s="5" t="s">
        <v>64</v>
      </c>
      <c r="N1" s="5" t="s">
        <v>65</v>
      </c>
      <c r="O1" s="10" t="s">
        <v>66</v>
      </c>
      <c r="P1" s="11" t="s">
        <v>67</v>
      </c>
      <c r="Q1" s="12" t="s">
        <v>68</v>
      </c>
      <c r="R1" s="13" t="s">
        <v>69</v>
      </c>
      <c r="S1" s="5" t="s">
        <v>70</v>
      </c>
      <c r="T1" s="14" t="s">
        <v>71</v>
      </c>
      <c r="U1" s="14" t="s">
        <v>72</v>
      </c>
      <c r="V1" s="15" t="s">
        <v>73</v>
      </c>
      <c r="W1" s="10" t="s">
        <v>74</v>
      </c>
      <c r="X1" s="16" t="s">
        <v>75</v>
      </c>
      <c r="Y1" s="1"/>
      <c r="Z1" s="1"/>
      <c r="AA1" s="1"/>
    </row>
    <row r="2" spans="1:27" x14ac:dyDescent="0.35">
      <c r="A2" s="1">
        <v>4</v>
      </c>
      <c r="B2" s="1" t="s">
        <v>0</v>
      </c>
      <c r="C2" s="1" t="s">
        <v>1</v>
      </c>
      <c r="D2" s="2" t="s">
        <v>2</v>
      </c>
      <c r="E2" s="18" t="s">
        <v>3</v>
      </c>
      <c r="F2" s="18" t="s">
        <v>4</v>
      </c>
      <c r="G2" s="18" t="s">
        <v>5</v>
      </c>
      <c r="H2" s="2" t="s">
        <v>6</v>
      </c>
      <c r="I2" s="2" t="s">
        <v>7</v>
      </c>
      <c r="J2" s="2" t="s">
        <v>8</v>
      </c>
      <c r="K2" s="1" t="s">
        <v>9</v>
      </c>
      <c r="L2" s="1" t="s">
        <v>6</v>
      </c>
      <c r="M2" s="1" t="s">
        <v>6</v>
      </c>
      <c r="N2" s="1" t="s">
        <v>6</v>
      </c>
      <c r="O2" s="1" t="s">
        <v>6</v>
      </c>
      <c r="P2" s="1"/>
      <c r="Q2" s="1">
        <v>161</v>
      </c>
      <c r="R2" s="3">
        <v>479830003</v>
      </c>
      <c r="S2" s="1"/>
      <c r="T2" s="1"/>
      <c r="U2" s="1"/>
      <c r="V2" s="1"/>
      <c r="W2" s="1"/>
      <c r="X2" s="1"/>
      <c r="Z2" t="e">
        <f>SUM(#REF!)</f>
        <v>#REF!</v>
      </c>
      <c r="AA2" t="e">
        <f>SUM(#REF!)</f>
        <v>#REF!</v>
      </c>
    </row>
    <row r="3" spans="1:27" x14ac:dyDescent="0.35">
      <c r="A3" s="1">
        <v>4</v>
      </c>
      <c r="B3" s="1" t="s">
        <v>0</v>
      </c>
      <c r="C3" s="1" t="s">
        <v>1</v>
      </c>
      <c r="D3" s="2" t="s">
        <v>2</v>
      </c>
      <c r="E3" s="18" t="s">
        <v>10</v>
      </c>
      <c r="F3" s="18" t="s">
        <v>11</v>
      </c>
      <c r="G3" s="18" t="s">
        <v>12</v>
      </c>
      <c r="H3" s="2" t="s">
        <v>6</v>
      </c>
      <c r="I3" s="2" t="s">
        <v>7</v>
      </c>
      <c r="J3" s="2" t="s">
        <v>8</v>
      </c>
      <c r="K3" s="1" t="s">
        <v>9</v>
      </c>
      <c r="L3" s="1" t="s">
        <v>6</v>
      </c>
      <c r="M3" s="1" t="s">
        <v>6</v>
      </c>
      <c r="N3" s="1" t="s">
        <v>6</v>
      </c>
      <c r="O3" s="1" t="s">
        <v>6</v>
      </c>
      <c r="P3" s="1"/>
      <c r="Q3" s="1">
        <v>0</v>
      </c>
      <c r="R3" s="3">
        <v>0</v>
      </c>
      <c r="S3" s="1"/>
      <c r="T3" s="1"/>
      <c r="U3" s="1"/>
      <c r="V3" s="1"/>
      <c r="W3" s="1"/>
      <c r="X3" s="1"/>
    </row>
    <row r="4" spans="1:27" x14ac:dyDescent="0.35">
      <c r="A4" s="1">
        <v>4</v>
      </c>
      <c r="B4" s="1" t="s">
        <v>0</v>
      </c>
      <c r="C4" s="1" t="s">
        <v>1</v>
      </c>
      <c r="D4" s="2" t="s">
        <v>2</v>
      </c>
      <c r="E4" s="18" t="s">
        <v>13</v>
      </c>
      <c r="F4" s="18" t="s">
        <v>14</v>
      </c>
      <c r="G4" s="18" t="s">
        <v>15</v>
      </c>
      <c r="H4" s="2" t="s">
        <v>6</v>
      </c>
      <c r="I4" s="2" t="s">
        <v>7</v>
      </c>
      <c r="J4" s="2" t="s">
        <v>8</v>
      </c>
      <c r="K4" s="1" t="s">
        <v>9</v>
      </c>
      <c r="L4" s="1" t="s">
        <v>6</v>
      </c>
      <c r="M4" s="1" t="s">
        <v>6</v>
      </c>
      <c r="N4" s="1" t="s">
        <v>6</v>
      </c>
      <c r="O4" s="1" t="s">
        <v>6</v>
      </c>
      <c r="P4" s="1"/>
      <c r="Q4" s="1">
        <v>0</v>
      </c>
      <c r="R4" s="3">
        <v>0</v>
      </c>
      <c r="S4" s="1"/>
      <c r="T4" s="1"/>
      <c r="U4" s="1"/>
      <c r="V4" s="1"/>
      <c r="W4" s="1"/>
      <c r="X4" s="1"/>
    </row>
    <row r="5" spans="1:27" x14ac:dyDescent="0.35">
      <c r="A5" s="1">
        <v>4</v>
      </c>
      <c r="B5" s="1" t="s">
        <v>0</v>
      </c>
      <c r="C5" s="1" t="s">
        <v>1</v>
      </c>
      <c r="D5" s="2" t="s">
        <v>2</v>
      </c>
      <c r="E5" s="18" t="s">
        <v>16</v>
      </c>
      <c r="F5" s="18" t="s">
        <v>17</v>
      </c>
      <c r="G5" s="18" t="s">
        <v>18</v>
      </c>
      <c r="H5" s="2" t="s">
        <v>6</v>
      </c>
      <c r="I5" s="2" t="s">
        <v>7</v>
      </c>
      <c r="J5" s="2" t="s">
        <v>8</v>
      </c>
      <c r="K5" s="1" t="s">
        <v>9</v>
      </c>
      <c r="L5" s="1" t="s">
        <v>6</v>
      </c>
      <c r="M5" s="1" t="s">
        <v>6</v>
      </c>
      <c r="N5" s="1" t="s">
        <v>6</v>
      </c>
      <c r="O5" s="1" t="s">
        <v>6</v>
      </c>
      <c r="P5" s="1"/>
      <c r="Q5" s="1">
        <v>0</v>
      </c>
      <c r="R5" s="3">
        <v>0</v>
      </c>
      <c r="S5" s="1"/>
      <c r="T5" s="1"/>
      <c r="U5" s="1"/>
      <c r="V5" s="1"/>
      <c r="W5" s="1"/>
      <c r="X5" s="1"/>
    </row>
    <row r="6" spans="1:27" x14ac:dyDescent="0.35">
      <c r="A6" s="1">
        <v>4</v>
      </c>
      <c r="B6" s="1" t="s">
        <v>0</v>
      </c>
      <c r="C6" s="1" t="s">
        <v>1</v>
      </c>
      <c r="D6" s="2" t="s">
        <v>2</v>
      </c>
      <c r="E6" s="18" t="s">
        <v>19</v>
      </c>
      <c r="F6" s="18" t="s">
        <v>20</v>
      </c>
      <c r="G6" s="18" t="s">
        <v>21</v>
      </c>
      <c r="H6" s="2" t="s">
        <v>6</v>
      </c>
      <c r="I6" s="2" t="s">
        <v>7</v>
      </c>
      <c r="J6" s="2" t="s">
        <v>8</v>
      </c>
      <c r="K6" s="1" t="s">
        <v>9</v>
      </c>
      <c r="L6" s="1" t="s">
        <v>6</v>
      </c>
      <c r="M6" s="1" t="s">
        <v>6</v>
      </c>
      <c r="N6" s="1" t="s">
        <v>6</v>
      </c>
      <c r="O6" s="1" t="s">
        <v>6</v>
      </c>
      <c r="P6" s="1"/>
      <c r="Q6" s="1">
        <v>0</v>
      </c>
      <c r="R6" s="3">
        <v>0</v>
      </c>
      <c r="S6" s="1"/>
      <c r="T6" s="1"/>
      <c r="U6" s="1"/>
      <c r="V6" s="1"/>
      <c r="W6" s="1"/>
      <c r="X6" s="1"/>
      <c r="Z6">
        <v>71</v>
      </c>
      <c r="AA6" s="4">
        <v>315036899</v>
      </c>
    </row>
    <row r="7" spans="1:27" x14ac:dyDescent="0.35">
      <c r="A7" s="1">
        <v>4</v>
      </c>
      <c r="B7" s="1" t="s">
        <v>0</v>
      </c>
      <c r="C7" s="1" t="s">
        <v>1</v>
      </c>
      <c r="D7" s="2" t="s">
        <v>2</v>
      </c>
      <c r="E7" s="18" t="s">
        <v>22</v>
      </c>
      <c r="F7" s="18" t="s">
        <v>23</v>
      </c>
      <c r="G7" s="18" t="s">
        <v>24</v>
      </c>
      <c r="H7" s="2" t="s">
        <v>6</v>
      </c>
      <c r="I7" s="2" t="s">
        <v>7</v>
      </c>
      <c r="J7" s="2" t="s">
        <v>8</v>
      </c>
      <c r="K7" s="1" t="s">
        <v>9</v>
      </c>
      <c r="L7" s="1" t="s">
        <v>6</v>
      </c>
      <c r="M7" s="1" t="s">
        <v>6</v>
      </c>
      <c r="N7" s="1" t="s">
        <v>6</v>
      </c>
      <c r="O7" s="1" t="s">
        <v>6</v>
      </c>
      <c r="P7" s="1"/>
      <c r="Q7" s="1">
        <v>0</v>
      </c>
      <c r="R7" s="3">
        <v>0</v>
      </c>
      <c r="S7" s="1"/>
      <c r="T7" s="1"/>
      <c r="U7" s="1"/>
      <c r="V7" s="1"/>
      <c r="W7" s="1"/>
      <c r="X7" s="1"/>
      <c r="Z7">
        <v>17</v>
      </c>
      <c r="AA7" s="4">
        <v>40872516</v>
      </c>
    </row>
    <row r="8" spans="1:27" x14ac:dyDescent="0.35">
      <c r="A8" s="1">
        <v>4</v>
      </c>
      <c r="B8" s="1" t="s">
        <v>0</v>
      </c>
      <c r="C8" s="1" t="s">
        <v>1</v>
      </c>
      <c r="D8" s="2" t="s">
        <v>2</v>
      </c>
      <c r="E8" s="18" t="s">
        <v>25</v>
      </c>
      <c r="F8" s="18" t="s">
        <v>26</v>
      </c>
      <c r="G8" s="18" t="s">
        <v>27</v>
      </c>
      <c r="H8" s="2" t="s">
        <v>6</v>
      </c>
      <c r="I8" s="2" t="s">
        <v>7</v>
      </c>
      <c r="J8" s="2" t="s">
        <v>8</v>
      </c>
      <c r="K8" s="1" t="s">
        <v>9</v>
      </c>
      <c r="L8" s="1" t="s">
        <v>6</v>
      </c>
      <c r="M8" s="1" t="s">
        <v>6</v>
      </c>
      <c r="N8" s="1" t="s">
        <v>6</v>
      </c>
      <c r="O8" s="1" t="s">
        <v>6</v>
      </c>
      <c r="P8" s="1"/>
      <c r="Q8" s="1">
        <v>0</v>
      </c>
      <c r="R8" s="3">
        <v>0</v>
      </c>
      <c r="S8" s="1"/>
      <c r="T8" s="1"/>
      <c r="U8" s="1"/>
      <c r="V8" s="1"/>
      <c r="W8" s="1"/>
      <c r="X8" s="1"/>
      <c r="Z8">
        <v>53</v>
      </c>
      <c r="AA8" s="4">
        <v>83923588</v>
      </c>
    </row>
    <row r="9" spans="1:27" x14ac:dyDescent="0.35">
      <c r="A9" s="1">
        <v>4</v>
      </c>
      <c r="B9" s="1" t="s">
        <v>0</v>
      </c>
      <c r="C9" s="1" t="s">
        <v>1</v>
      </c>
      <c r="D9" s="2" t="s">
        <v>2</v>
      </c>
      <c r="E9" s="19" t="s">
        <v>28</v>
      </c>
      <c r="F9" s="18" t="s">
        <v>29</v>
      </c>
      <c r="G9" s="18" t="s">
        <v>30</v>
      </c>
      <c r="H9" s="2" t="s">
        <v>6</v>
      </c>
      <c r="I9" s="2" t="s">
        <v>7</v>
      </c>
      <c r="J9" s="2" t="s">
        <v>8</v>
      </c>
      <c r="K9" s="1" t="s">
        <v>9</v>
      </c>
      <c r="L9" s="1" t="s">
        <v>6</v>
      </c>
      <c r="M9" s="1" t="s">
        <v>6</v>
      </c>
      <c r="N9" s="1" t="s">
        <v>6</v>
      </c>
      <c r="O9" s="1" t="s">
        <v>6</v>
      </c>
      <c r="P9" s="1"/>
      <c r="Q9" s="1">
        <v>0</v>
      </c>
      <c r="R9" s="3">
        <v>0</v>
      </c>
      <c r="S9" s="1"/>
      <c r="T9" s="1"/>
      <c r="U9" s="1"/>
      <c r="V9" s="1"/>
      <c r="W9" s="1"/>
      <c r="X9" s="1"/>
      <c r="Z9">
        <v>20</v>
      </c>
      <c r="AA9" s="4">
        <v>39997000</v>
      </c>
    </row>
    <row r="10" spans="1:27" x14ac:dyDescent="0.35">
      <c r="A10" s="1">
        <v>4</v>
      </c>
      <c r="B10" s="1" t="s">
        <v>0</v>
      </c>
      <c r="C10" s="1" t="s">
        <v>1</v>
      </c>
      <c r="D10" s="2" t="s">
        <v>2</v>
      </c>
      <c r="E10" s="18" t="s">
        <v>31</v>
      </c>
      <c r="F10" s="18" t="s">
        <v>32</v>
      </c>
      <c r="G10" s="18" t="s">
        <v>33</v>
      </c>
      <c r="H10" s="2" t="s">
        <v>6</v>
      </c>
      <c r="I10" s="2" t="s">
        <v>7</v>
      </c>
      <c r="J10" s="2" t="s">
        <v>8</v>
      </c>
      <c r="K10" s="1" t="s">
        <v>9</v>
      </c>
      <c r="L10" s="1" t="s">
        <v>6</v>
      </c>
      <c r="M10" s="1" t="s">
        <v>6</v>
      </c>
      <c r="N10" s="1" t="s">
        <v>6</v>
      </c>
      <c r="O10" s="1" t="s">
        <v>6</v>
      </c>
      <c r="P10" s="1"/>
      <c r="Q10" s="1">
        <v>0</v>
      </c>
      <c r="R10" s="3">
        <v>0</v>
      </c>
      <c r="S10" s="1"/>
      <c r="T10" s="1"/>
      <c r="U10" s="1"/>
      <c r="V10" s="1"/>
      <c r="W10" s="1"/>
      <c r="X10" s="1"/>
      <c r="Z10">
        <f>SUM(Z6:Z9)</f>
        <v>161</v>
      </c>
      <c r="AA10">
        <f>SUM(AA6:AA9)</f>
        <v>479830003</v>
      </c>
    </row>
    <row r="11" spans="1:27" x14ac:dyDescent="0.35">
      <c r="A11" s="1">
        <v>4</v>
      </c>
      <c r="B11" s="1" t="s">
        <v>0</v>
      </c>
      <c r="C11" s="1" t="s">
        <v>1</v>
      </c>
      <c r="D11" s="2" t="s">
        <v>2</v>
      </c>
      <c r="E11" s="18" t="s">
        <v>34</v>
      </c>
      <c r="F11" s="18" t="s">
        <v>35</v>
      </c>
      <c r="G11" s="18" t="s">
        <v>36</v>
      </c>
      <c r="H11" s="2" t="s">
        <v>6</v>
      </c>
      <c r="I11" s="2" t="s">
        <v>7</v>
      </c>
      <c r="J11" s="2" t="s">
        <v>8</v>
      </c>
      <c r="K11" s="1" t="s">
        <v>9</v>
      </c>
      <c r="L11" s="1" t="s">
        <v>6</v>
      </c>
      <c r="M11" s="1" t="s">
        <v>6</v>
      </c>
      <c r="N11" s="1" t="s">
        <v>6</v>
      </c>
      <c r="O11" s="1" t="s">
        <v>6</v>
      </c>
      <c r="P11" s="1"/>
      <c r="Q11" s="1">
        <v>0</v>
      </c>
      <c r="R11" s="3">
        <v>0</v>
      </c>
      <c r="S11" s="1"/>
      <c r="T11" s="1"/>
      <c r="U11" s="1"/>
      <c r="V11" s="1"/>
      <c r="W11" s="1"/>
      <c r="X11" s="1"/>
    </row>
    <row r="12" spans="1:27" x14ac:dyDescent="0.35">
      <c r="A12" s="1">
        <v>4</v>
      </c>
      <c r="B12" s="1" t="s">
        <v>0</v>
      </c>
      <c r="C12" s="1" t="s">
        <v>1</v>
      </c>
      <c r="D12" s="2" t="s">
        <v>2</v>
      </c>
      <c r="E12" s="18" t="s">
        <v>37</v>
      </c>
      <c r="F12" s="18" t="s">
        <v>38</v>
      </c>
      <c r="G12" s="18" t="s">
        <v>39</v>
      </c>
      <c r="H12" s="2" t="s">
        <v>6</v>
      </c>
      <c r="I12" s="2" t="s">
        <v>7</v>
      </c>
      <c r="J12" s="2" t="s">
        <v>8</v>
      </c>
      <c r="K12" s="1" t="s">
        <v>9</v>
      </c>
      <c r="L12" s="1" t="s">
        <v>6</v>
      </c>
      <c r="M12" s="1" t="s">
        <v>6</v>
      </c>
      <c r="N12" s="1" t="s">
        <v>6</v>
      </c>
      <c r="O12" s="1" t="s">
        <v>6</v>
      </c>
      <c r="P12" s="1"/>
      <c r="Q12" s="1">
        <v>0</v>
      </c>
      <c r="R12" s="3">
        <v>0</v>
      </c>
      <c r="S12" s="1"/>
      <c r="T12" s="1"/>
      <c r="U12" s="1"/>
      <c r="V12" s="1"/>
      <c r="W12" s="1"/>
      <c r="X12" s="1"/>
    </row>
    <row r="13" spans="1:27" x14ac:dyDescent="0.35">
      <c r="A13" s="1">
        <v>4</v>
      </c>
      <c r="B13" s="1" t="s">
        <v>0</v>
      </c>
      <c r="C13" s="1" t="s">
        <v>1</v>
      </c>
      <c r="D13" s="2" t="s">
        <v>2</v>
      </c>
      <c r="E13" s="18" t="s">
        <v>40</v>
      </c>
      <c r="F13" s="18" t="s">
        <v>41</v>
      </c>
      <c r="G13" s="18" t="s">
        <v>42</v>
      </c>
      <c r="H13" s="2" t="s">
        <v>6</v>
      </c>
      <c r="I13" s="2" t="s">
        <v>7</v>
      </c>
      <c r="J13" s="2" t="s">
        <v>8</v>
      </c>
      <c r="K13" s="1" t="s">
        <v>9</v>
      </c>
      <c r="L13" s="1" t="s">
        <v>6</v>
      </c>
      <c r="M13" s="1" t="s">
        <v>6</v>
      </c>
      <c r="N13" s="1" t="s">
        <v>6</v>
      </c>
      <c r="O13" s="1" t="s">
        <v>6</v>
      </c>
      <c r="P13" s="1"/>
      <c r="Q13" s="1">
        <v>0</v>
      </c>
      <c r="R13" s="3">
        <v>0</v>
      </c>
      <c r="S13" s="1"/>
      <c r="T13" s="1"/>
      <c r="U13" s="1"/>
      <c r="V13" s="1"/>
      <c r="W13" s="1"/>
      <c r="X13" s="1"/>
    </row>
    <row r="14" spans="1:27" x14ac:dyDescent="0.35">
      <c r="A14" s="1">
        <v>4</v>
      </c>
      <c r="B14" s="1" t="s">
        <v>0</v>
      </c>
      <c r="C14" s="1" t="s">
        <v>1</v>
      </c>
      <c r="D14" s="2" t="s">
        <v>2</v>
      </c>
      <c r="E14" s="18" t="s">
        <v>43</v>
      </c>
      <c r="F14" s="18" t="s">
        <v>44</v>
      </c>
      <c r="G14" s="18" t="s">
        <v>45</v>
      </c>
      <c r="H14" s="2" t="s">
        <v>6</v>
      </c>
      <c r="I14" s="2" t="s">
        <v>7</v>
      </c>
      <c r="J14" s="2" t="s">
        <v>8</v>
      </c>
      <c r="K14" s="1" t="s">
        <v>9</v>
      </c>
      <c r="L14" s="1" t="s">
        <v>6</v>
      </c>
      <c r="M14" s="1" t="s">
        <v>6</v>
      </c>
      <c r="N14" s="1" t="s">
        <v>6</v>
      </c>
      <c r="O14" s="1" t="s">
        <v>6</v>
      </c>
      <c r="P14" s="1"/>
      <c r="Q14" s="1">
        <v>0</v>
      </c>
      <c r="R14" s="3">
        <v>0</v>
      </c>
      <c r="S14" s="1"/>
      <c r="T14" s="1"/>
      <c r="U14" s="1"/>
      <c r="V14" s="1"/>
      <c r="W14" s="1"/>
      <c r="X14" s="1"/>
    </row>
    <row r="15" spans="1:27" x14ac:dyDescent="0.35">
      <c r="A15" s="1">
        <v>4</v>
      </c>
      <c r="B15" s="1" t="s">
        <v>0</v>
      </c>
      <c r="C15" s="1" t="s">
        <v>1</v>
      </c>
      <c r="D15" s="2" t="s">
        <v>2</v>
      </c>
      <c r="E15" s="18" t="s">
        <v>46</v>
      </c>
      <c r="F15" s="18" t="s">
        <v>47</v>
      </c>
      <c r="G15" s="18" t="s">
        <v>48</v>
      </c>
      <c r="H15" s="2" t="s">
        <v>6</v>
      </c>
      <c r="I15" s="2" t="s">
        <v>7</v>
      </c>
      <c r="J15" s="2" t="s">
        <v>8</v>
      </c>
      <c r="K15" s="1" t="s">
        <v>9</v>
      </c>
      <c r="L15" s="1" t="s">
        <v>6</v>
      </c>
      <c r="M15" s="1" t="s">
        <v>6</v>
      </c>
      <c r="N15" s="1" t="s">
        <v>6</v>
      </c>
      <c r="O15" s="1" t="s">
        <v>6</v>
      </c>
      <c r="P15" s="1"/>
      <c r="Q15" s="1">
        <v>0</v>
      </c>
      <c r="R15" s="3">
        <v>0</v>
      </c>
      <c r="S15" s="1"/>
      <c r="T15" s="1"/>
      <c r="U15" s="1"/>
      <c r="V15" s="1"/>
      <c r="W15" s="1"/>
      <c r="X15" s="1"/>
    </row>
    <row r="16" spans="1:27" x14ac:dyDescent="0.35">
      <c r="A16" s="1">
        <v>4</v>
      </c>
      <c r="B16" s="1" t="s">
        <v>0</v>
      </c>
      <c r="C16" s="1" t="s">
        <v>1</v>
      </c>
      <c r="D16" s="2" t="s">
        <v>2</v>
      </c>
      <c r="E16" s="18" t="s">
        <v>49</v>
      </c>
      <c r="F16" s="18" t="s">
        <v>50</v>
      </c>
      <c r="G16" s="18" t="s">
        <v>51</v>
      </c>
      <c r="H16" s="2" t="s">
        <v>6</v>
      </c>
      <c r="I16" s="2" t="s">
        <v>7</v>
      </c>
      <c r="J16" s="2" t="s">
        <v>8</v>
      </c>
      <c r="K16" s="1" t="s">
        <v>9</v>
      </c>
      <c r="L16" s="1" t="s">
        <v>6</v>
      </c>
      <c r="M16" s="1" t="s">
        <v>6</v>
      </c>
      <c r="N16" s="1" t="s">
        <v>6</v>
      </c>
      <c r="O16" s="1" t="s">
        <v>6</v>
      </c>
      <c r="P16" s="1"/>
      <c r="Q16" s="1">
        <v>0</v>
      </c>
      <c r="R16" s="3">
        <v>0</v>
      </c>
      <c r="S16" s="1"/>
      <c r="T16" s="1"/>
      <c r="U16" s="1"/>
      <c r="V16" s="1"/>
      <c r="W16" s="1"/>
      <c r="X16" s="1"/>
    </row>
  </sheetData>
  <conditionalFormatting sqref="S1">
    <cfRule type="expression" dxfId="0" priority="1">
      <formula>AND(ISNUMBER(#REF!), #REF!&lt;1)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c760453-53ae-4297-a54b-71eea824cb11}" enabled="1" method="Privileged" siteId="{aeea8c8a-851e-46dc-b993-cac6f54b59c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Zalfa Castella Desya Asiku Z</dc:creator>
  <cp:lastModifiedBy>Zalfa Castella Desya Asiku Z</cp:lastModifiedBy>
  <dcterms:created xsi:type="dcterms:W3CDTF">2026-04-14T15:19:42Z</dcterms:created>
  <dcterms:modified xsi:type="dcterms:W3CDTF">2026-04-14T15:20:22Z</dcterms:modified>
</cp:coreProperties>
</file>